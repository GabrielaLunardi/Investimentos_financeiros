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13_ncr:1_{969A5C9E-40F8-497E-93F9-7E8F36D3186B}" xr6:coauthVersionLast="47" xr6:coauthVersionMax="47" xr10:uidLastSave="{00000000-0000-0000-0000-000000000000}"/>
  <bookViews>
    <workbookView xWindow="28680" yWindow="5250" windowWidth="19440" windowHeight="10320" tabRatio="566" xr2:uid="{19F6C997-6E43-48F6-B07B-DF18AA348C9A}"/>
  </bookViews>
  <sheets>
    <sheet name="Tabela_financeira" sheetId="1" r:id="rId1"/>
    <sheet name="Tabela_de_apoio" sheetId="2" r:id="rId2"/>
  </sheets>
  <definedNames>
    <definedName name="Aporte">Tabela_financeira!$D$18</definedName>
    <definedName name="patrimonio">Tabela_financeira!$D$21</definedName>
    <definedName name="Qntd_anos">Tabela_financeira!$D$19</definedName>
    <definedName name="Rendimento_carteira">Tabela_financeira!$D$14</definedName>
    <definedName name="Salario">Tabela_financeira!$D$13</definedName>
    <definedName name="Sugestao_investimento">Tabela_financeira!$D$15</definedName>
    <definedName name="Taxa_mensal">Tabela_financeira!$D$20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1" i="1"/>
  <c r="D15" i="1"/>
  <c r="C35" i="1"/>
  <c r="A10" i="2"/>
  <c r="A11" i="2"/>
  <c r="A12" i="2"/>
  <c r="A13" i="2"/>
  <c r="A14" i="2"/>
  <c r="A15" i="2"/>
  <c r="A16" i="2"/>
  <c r="C40" i="1" s="1"/>
  <c r="A17" i="2"/>
  <c r="A18" i="2"/>
  <c r="A19" i="2"/>
  <c r="A20" i="2"/>
  <c r="A9" i="2"/>
  <c r="A4" i="2"/>
  <c r="A5" i="2"/>
  <c r="A6" i="2"/>
  <c r="A7" i="2"/>
  <c r="A8" i="2"/>
  <c r="A3" i="2"/>
  <c r="C32" i="1"/>
  <c r="C25" i="1"/>
  <c r="D25" i="1" s="1"/>
  <c r="C26" i="1"/>
  <c r="D26" i="1" s="1"/>
  <c r="C27" i="1"/>
  <c r="D27" i="1" s="1"/>
  <c r="C28" i="1"/>
  <c r="D28" i="1" s="1"/>
  <c r="C29" i="1"/>
  <c r="D29" i="1" s="1"/>
  <c r="C39" i="1" l="1"/>
  <c r="D39" i="1" s="1"/>
  <c r="C37" i="1"/>
  <c r="D37" i="1" s="1"/>
  <c r="C36" i="1"/>
  <c r="D36" i="1" s="1"/>
  <c r="C38" i="1"/>
  <c r="D38" i="1" s="1"/>
  <c r="D35" i="1"/>
  <c r="D40" i="1"/>
  <c r="D41" i="1" l="1"/>
</calcChain>
</file>

<file path=xl/sharedStrings.xml><?xml version="1.0" encoding="utf-8"?>
<sst xmlns="http://schemas.openxmlformats.org/spreadsheetml/2006/main" count="70" uniqueCount="35">
  <si>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</si>
  <si>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</si>
  <si>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</si>
  <si>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</si>
  <si>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</si>
  <si>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</si>
  <si>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</si>
  <si>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</si>
  <si>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</si>
  <si>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</si>
  <si>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INVESTIMENTO MENSAL</t>
  </si>
  <si>
    <t>CENÁRIOS</t>
  </si>
  <si>
    <t>Salário</t>
  </si>
  <si>
    <t>Rendimento carteira</t>
  </si>
  <si>
    <t>CONFIGURAÇÕES</t>
  </si>
  <si>
    <t>DIVIDENDO</t>
  </si>
  <si>
    <t>PERFIL</t>
  </si>
  <si>
    <t>CONSERVADOR</t>
  </si>
  <si>
    <t>MODERADO</t>
  </si>
  <si>
    <t>AGRESSIVO</t>
  </si>
  <si>
    <t>Valor a ser investido por mês</t>
  </si>
  <si>
    <t>Tipo de FII</t>
  </si>
  <si>
    <t>PAPEL</t>
  </si>
  <si>
    <t>TIJOLO</t>
  </si>
  <si>
    <t>HÍBRIDOS</t>
  </si>
  <si>
    <t>FOFs</t>
  </si>
  <si>
    <t>DESENVOLVIMENTO</t>
  </si>
  <si>
    <t>HOTELÁRIAS</t>
  </si>
  <si>
    <t>TIPO DE FII</t>
  </si>
  <si>
    <t>PERCENTUAL</t>
  </si>
  <si>
    <t>CHAVE</t>
  </si>
  <si>
    <t>Sugestão de investimento (30%)</t>
  </si>
  <si>
    <t>PERCENTUAL SUGERIDO</t>
  </si>
  <si>
    <t>VALORES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</si>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</sst>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4"/>
      <color theme="1"/>
      <name val="Aptos Narrow"/>
      <family val="2"/>
    </font>
    <font>
      <b/>
      <sz val="14"/>
      <color theme="1"/>
      <name val="Aptos Narrow"/>
      <family val="2"/>
    </font>
    <font>
      <b/>
      <sz val="20"/>
      <color rgb="FFFFFFFF"/>
      <name val="Aptos Narrow"/>
      <family val="2"/>
    </font>
    <font>
      <b/>
      <sz val="14"/>
      <color rgb="FFFFFFFF"/>
      <name val="Aptos Narrow"/>
      <family val="2"/>
    </font>
    <font>
      <sz val="14"/>
      <color rgb="FFFFFFFF"/>
      <name val="Aptos Narrow"/>
      <family val="2"/>
    </font>
    <font>
      <b/>
      <u/>
      <sz val="14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9EDE"/>
        <bgColor indexed="64"/>
      </patternFill>
    </fill>
    <fill>
      <patternFill patternType="solid">
        <fgColor rgb="FF004F88"/>
        <bgColor indexed="64"/>
      </patternFill>
    </fill>
    <fill>
      <patternFill patternType="solid">
        <fgColor rgb="FF227ACB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164" fontId="3" fillId="2" borderId="5" xfId="1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0" fontId="3" fillId="2" borderId="7" xfId="0" applyNumberFormat="1" applyFont="1" applyFill="1" applyBorder="1" applyAlignment="1">
      <alignment horizontal="center" vertical="center"/>
    </xf>
    <xf numFmtId="8" fontId="3" fillId="3" borderId="7" xfId="0" applyNumberFormat="1" applyFont="1" applyFill="1" applyBorder="1" applyAlignment="1">
      <alignment horizontal="center" vertical="center"/>
    </xf>
    <xf numFmtId="8" fontId="3" fillId="3" borderId="9" xfId="0" applyNumberFormat="1" applyFont="1" applyFill="1" applyBorder="1" applyAlignment="1">
      <alignment horizontal="center" vertical="center"/>
    </xf>
    <xf numFmtId="8" fontId="3" fillId="3" borderId="11" xfId="0" applyNumberFormat="1" applyFont="1" applyFill="1" applyBorder="1" applyAlignment="1">
      <alignment horizontal="center" vertical="center"/>
    </xf>
    <xf numFmtId="8" fontId="3" fillId="3" borderId="12" xfId="0" applyNumberFormat="1" applyFont="1" applyFill="1" applyBorder="1" applyAlignment="1">
      <alignment horizontal="center" vertical="center"/>
    </xf>
    <xf numFmtId="8" fontId="3" fillId="3" borderId="14" xfId="0" applyNumberFormat="1" applyFont="1" applyFill="1" applyBorder="1" applyAlignment="1">
      <alignment horizontal="center" vertical="center"/>
    </xf>
    <xf numFmtId="8" fontId="3" fillId="3" borderId="15" xfId="0" applyNumberFormat="1" applyFont="1" applyFill="1" applyBorder="1" applyAlignment="1">
      <alignment horizontal="center" vertical="center"/>
    </xf>
    <xf numFmtId="8" fontId="3" fillId="3" borderId="17" xfId="0" applyNumberFormat="1" applyFont="1" applyFill="1" applyBorder="1" applyAlignment="1">
      <alignment horizontal="center" vertical="center"/>
    </xf>
    <xf numFmtId="8" fontId="3" fillId="3" borderId="18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left" indent="3"/>
    </xf>
    <xf numFmtId="0" fontId="3" fillId="3" borderId="13" xfId="0" applyFont="1" applyFill="1" applyBorder="1" applyAlignment="1">
      <alignment horizontal="left" indent="3"/>
    </xf>
    <xf numFmtId="0" fontId="3" fillId="3" borderId="16" xfId="0" applyFont="1" applyFill="1" applyBorder="1" applyAlignment="1">
      <alignment horizontal="left" indent="3"/>
    </xf>
    <xf numFmtId="164" fontId="3" fillId="3" borderId="9" xfId="1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9" fontId="3" fillId="0" borderId="20" xfId="0" applyNumberFormat="1" applyFont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left" indent="3"/>
    </xf>
    <xf numFmtId="0" fontId="7" fillId="6" borderId="3" xfId="0" applyFont="1" applyFill="1" applyBorder="1"/>
    <xf numFmtId="0" fontId="6" fillId="6" borderId="22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left" indent="3"/>
    </xf>
    <xf numFmtId="0" fontId="7" fillId="6" borderId="1" xfId="0" applyFont="1" applyFill="1" applyBorder="1"/>
    <xf numFmtId="0" fontId="7" fillId="6" borderId="2" xfId="0" applyFont="1" applyFill="1" applyBorder="1"/>
    <xf numFmtId="9" fontId="3" fillId="0" borderId="5" xfId="0" applyNumberFormat="1" applyFont="1" applyBorder="1" applyAlignment="1">
      <alignment horizontal="center"/>
    </xf>
    <xf numFmtId="9" fontId="3" fillId="0" borderId="7" xfId="0" applyNumberFormat="1" applyFont="1" applyBorder="1" applyAlignment="1">
      <alignment horizontal="center"/>
    </xf>
    <xf numFmtId="9" fontId="3" fillId="0" borderId="9" xfId="0" applyNumberFormat="1" applyFont="1" applyBorder="1" applyAlignment="1">
      <alignment horizontal="center"/>
    </xf>
    <xf numFmtId="0" fontId="3" fillId="3" borderId="4" xfId="0" applyFont="1" applyFill="1" applyBorder="1"/>
    <xf numFmtId="0" fontId="3" fillId="3" borderId="19" xfId="0" applyFont="1" applyFill="1" applyBorder="1"/>
    <xf numFmtId="0" fontId="3" fillId="3" borderId="6" xfId="0" applyFont="1" applyFill="1" applyBorder="1"/>
    <xf numFmtId="0" fontId="3" fillId="3" borderId="20" xfId="0" applyFont="1" applyFill="1" applyBorder="1"/>
    <xf numFmtId="0" fontId="3" fillId="3" borderId="8" xfId="0" applyFont="1" applyFill="1" applyBorder="1"/>
    <xf numFmtId="0" fontId="3" fillId="3" borderId="21" xfId="0" applyFont="1" applyFill="1" applyBorder="1"/>
    <xf numFmtId="0" fontId="6" fillId="3" borderId="8" xfId="0" applyFont="1" applyFill="1" applyBorder="1" applyAlignment="1">
      <alignment horizontal="left" indent="3"/>
    </xf>
    <xf numFmtId="164" fontId="3" fillId="3" borderId="9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/>
    </xf>
    <xf numFmtId="0" fontId="6" fillId="6" borderId="24" xfId="0" applyFont="1" applyFill="1" applyBorder="1" applyAlignment="1">
      <alignment horizontal="center"/>
    </xf>
    <xf numFmtId="164" fontId="3" fillId="0" borderId="21" xfId="1" applyNumberFormat="1" applyFont="1" applyBorder="1" applyAlignment="1">
      <alignment horizontal="center" vertical="center"/>
    </xf>
    <xf numFmtId="164" fontId="3" fillId="0" borderId="9" xfId="1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left" indent="3"/>
    </xf>
    <xf numFmtId="0" fontId="3" fillId="2" borderId="20" xfId="0" applyFont="1" applyFill="1" applyBorder="1" applyAlignment="1">
      <alignment horizontal="left" indent="3"/>
    </xf>
    <xf numFmtId="0" fontId="4" fillId="3" borderId="6" xfId="0" applyFont="1" applyFill="1" applyBorder="1" applyAlignment="1">
      <alignment horizontal="left" indent="3"/>
    </xf>
    <xf numFmtId="0" fontId="4" fillId="3" borderId="20" xfId="0" applyFont="1" applyFill="1" applyBorder="1" applyAlignment="1">
      <alignment horizontal="left" indent="3"/>
    </xf>
    <xf numFmtId="0" fontId="3" fillId="3" borderId="4" xfId="0" applyFont="1" applyFill="1" applyBorder="1" applyAlignment="1">
      <alignment horizontal="left" indent="3"/>
    </xf>
    <xf numFmtId="0" fontId="3" fillId="3" borderId="19" xfId="0" applyFont="1" applyFill="1" applyBorder="1" applyAlignment="1">
      <alignment horizontal="left" indent="3"/>
    </xf>
    <xf numFmtId="0" fontId="3" fillId="3" borderId="6" xfId="0" applyFont="1" applyFill="1" applyBorder="1" applyAlignment="1">
      <alignment horizontal="left" indent="3"/>
    </xf>
    <xf numFmtId="0" fontId="3" fillId="3" borderId="20" xfId="0" applyFont="1" applyFill="1" applyBorder="1" applyAlignment="1">
      <alignment horizontal="left" indent="3"/>
    </xf>
    <xf numFmtId="0" fontId="3" fillId="3" borderId="8" xfId="0" applyFont="1" applyFill="1" applyBorder="1" applyAlignment="1">
      <alignment horizontal="left" indent="3"/>
    </xf>
    <xf numFmtId="0" fontId="3" fillId="3" borderId="21" xfId="0" applyFont="1" applyFill="1" applyBorder="1" applyAlignment="1">
      <alignment horizontal="left" indent="3"/>
    </xf>
    <xf numFmtId="0" fontId="5" fillId="5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indent="3"/>
    </xf>
    <xf numFmtId="0" fontId="3" fillId="2" borderId="19" xfId="0" applyFont="1" applyFill="1" applyBorder="1" applyAlignment="1">
      <alignment horizontal="left" indent="3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left" indent="3"/>
    </xf>
    <xf numFmtId="0" fontId="8" fillId="3" borderId="21" xfId="0" applyFont="1" applyFill="1" applyBorder="1" applyAlignment="1">
      <alignment horizontal="left" indent="3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133351</xdr:rowOff>
    </xdr:from>
    <xdr:to>
      <xdr:col>4</xdr:col>
      <xdr:colOff>18119</xdr:colOff>
      <xdr:row>9</xdr:row>
      <xdr:rowOff>130600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BA72F8A-4A97-C42C-5CFD-4CFCC35DD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33351"/>
          <a:ext cx="8203904" cy="16298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F816-899E-4729-8267-61465D76967E}">
  <dimension ref="A11:K58"/>
  <sheetViews>
    <sheetView showGridLines="0" tabSelected="1" zoomScaleNormal="100" workbookViewId="0">
      <selection activeCell="B22" sqref="B22:C22"/>
    </sheetView>
  </sheetViews>
  <sheetFormatPr defaultColWidth="0" defaultRowHeight="14.4" x14ac:dyDescent="0.3"/>
  <cols>
    <col min="1" max="1" width="2.33203125" customWidth="1"/>
    <col min="2" max="2" width="51.77734375" customWidth="1"/>
    <col min="3" max="3" width="51.21875" customWidth="1"/>
    <col min="4" max="4" width="15.77734375" bestFit="1" customWidth="1"/>
    <col min="5" max="5" width="4.5546875" customWidth="1"/>
    <col min="6" max="6" width="17.33203125" hidden="1" customWidth="1"/>
    <col min="7" max="10" width="8.88671875" hidden="1" customWidth="1"/>
    <col min="11" max="11" width="8.77734375" hidden="1" customWidth="1"/>
    <col min="12" max="16384" width="8.88671875" hidden="1"/>
  </cols>
  <sheetData>
    <row r="11" spans="2:4" ht="15" thickBot="1" x14ac:dyDescent="0.35"/>
    <row r="12" spans="2:4" ht="25.8" x14ac:dyDescent="0.3">
      <c r="B12" s="59" t="s">
        <v>14</v>
      </c>
      <c r="C12" s="60"/>
      <c r="D12" s="61"/>
    </row>
    <row r="13" spans="2:4" ht="18" x14ac:dyDescent="0.35">
      <c r="B13" s="50" t="s">
        <v>12</v>
      </c>
      <c r="C13" s="51"/>
      <c r="D13" s="2">
        <v>2000</v>
      </c>
    </row>
    <row r="14" spans="2:4" ht="18" x14ac:dyDescent="0.35">
      <c r="B14" s="52" t="s">
        <v>13</v>
      </c>
      <c r="C14" s="53"/>
      <c r="D14" s="4">
        <v>6.0000000000000001E-3</v>
      </c>
    </row>
    <row r="15" spans="2:4" ht="18.600000000000001" thickBot="1" x14ac:dyDescent="0.4">
      <c r="B15" s="54" t="s">
        <v>31</v>
      </c>
      <c r="C15" s="55"/>
      <c r="D15" s="16">
        <f>30%*Salario</f>
        <v>600</v>
      </c>
    </row>
    <row r="16" spans="2:4" ht="15" thickBot="1" x14ac:dyDescent="0.35"/>
    <row r="17" spans="1:5" ht="42.6" customHeight="1" x14ac:dyDescent="0.3">
      <c r="B17" s="40" t="s">
        <v>10</v>
      </c>
      <c r="C17" s="41"/>
      <c r="D17" s="56"/>
    </row>
    <row r="18" spans="1:5" ht="18" x14ac:dyDescent="0.35">
      <c r="B18" s="57" t="s">
        <v>0</v>
      </c>
      <c r="C18" s="58"/>
      <c r="D18" s="2">
        <v>600</v>
      </c>
    </row>
    <row r="19" spans="1:5" ht="18" x14ac:dyDescent="0.35">
      <c r="B19" s="46" t="s">
        <v>1</v>
      </c>
      <c r="C19" s="47"/>
      <c r="D19" s="3">
        <v>5</v>
      </c>
    </row>
    <row r="20" spans="1:5" ht="18" x14ac:dyDescent="0.35">
      <c r="B20" s="46" t="s">
        <v>2</v>
      </c>
      <c r="C20" s="47"/>
      <c r="D20" s="4">
        <v>1.0789999999999999E-2</v>
      </c>
    </row>
    <row r="21" spans="1:5" ht="18" x14ac:dyDescent="0.35">
      <c r="B21" s="48" t="s">
        <v>3</v>
      </c>
      <c r="C21" s="49"/>
      <c r="D21" s="5">
        <f>FV(Taxa_mensal,Qntd_anos*12,Aporte*-1)</f>
        <v>50266.148399092584</v>
      </c>
    </row>
    <row r="22" spans="1:5" ht="18.600000000000001" thickBot="1" x14ac:dyDescent="0.4">
      <c r="B22" s="62" t="s">
        <v>4</v>
      </c>
      <c r="C22" s="63"/>
      <c r="D22" s="6">
        <f>patrimonio*$D$14</f>
        <v>301.59689039455549</v>
      </c>
    </row>
    <row r="23" spans="1:5" ht="15" thickBot="1" x14ac:dyDescent="0.35"/>
    <row r="24" spans="1:5" ht="37.200000000000003" customHeight="1" x14ac:dyDescent="0.3">
      <c r="B24" s="40" t="s">
        <v>11</v>
      </c>
      <c r="C24" s="41"/>
      <c r="D24" s="17" t="s">
        <v>15</v>
      </c>
      <c r="E24" s="1"/>
    </row>
    <row r="25" spans="1:5" ht="18" x14ac:dyDescent="0.35">
      <c r="A25" s="1">
        <v>2</v>
      </c>
      <c r="B25" s="13" t="s">
        <v>5</v>
      </c>
      <c r="C25" s="7">
        <f>FV($D$20,$A25*12,$D$18*-1)</f>
        <v>16336.57637858713</v>
      </c>
      <c r="D25" s="8">
        <f>C25*Rendimento_carteira</f>
        <v>98.01945827152278</v>
      </c>
    </row>
    <row r="26" spans="1:5" ht="18" x14ac:dyDescent="0.35">
      <c r="A26" s="1">
        <v>5</v>
      </c>
      <c r="B26" s="14" t="s">
        <v>6</v>
      </c>
      <c r="C26" s="9">
        <f>FV($D$20,$A26*12,$D$18*-1)</f>
        <v>50266.148399092584</v>
      </c>
      <c r="D26" s="10">
        <f>C26*Rendimento_carteira</f>
        <v>301.59689039455549</v>
      </c>
    </row>
    <row r="27" spans="1:5" ht="18" x14ac:dyDescent="0.35">
      <c r="A27" s="1">
        <v>10</v>
      </c>
      <c r="B27" s="14" t="s">
        <v>7</v>
      </c>
      <c r="C27" s="9">
        <f>FV($D$20,$A27*12,$D$18*-1)</f>
        <v>145970.52751810331</v>
      </c>
      <c r="D27" s="10">
        <f>C27*Rendimento_carteira</f>
        <v>875.82316510861983</v>
      </c>
    </row>
    <row r="28" spans="1:5" ht="18" x14ac:dyDescent="0.35">
      <c r="A28" s="1">
        <v>20</v>
      </c>
      <c r="B28" s="14" t="s">
        <v>8</v>
      </c>
      <c r="C28" s="9">
        <f>FV($D$20,$A28*12,$D$18*-1)</f>
        <v>675119.04005824833</v>
      </c>
      <c r="D28" s="10">
        <f>C28*Rendimento_carteira</f>
        <v>4050.71424034949</v>
      </c>
    </row>
    <row r="29" spans="1:5" ht="18.600000000000001" thickBot="1" x14ac:dyDescent="0.4">
      <c r="A29" s="1">
        <v>30</v>
      </c>
      <c r="B29" s="15" t="s">
        <v>9</v>
      </c>
      <c r="C29" s="11">
        <f>FV($D$20,$A29*12,$D$18*-1)</f>
        <v>2593301.7930028285</v>
      </c>
      <c r="D29" s="12">
        <f>C29*Rendimento_carteira</f>
        <v>15559.810758016971</v>
      </c>
    </row>
    <row r="30" spans="1:5" ht="15" thickBot="1" x14ac:dyDescent="0.35"/>
    <row r="31" spans="1:5" ht="18" x14ac:dyDescent="0.35">
      <c r="B31" s="25" t="s">
        <v>16</v>
      </c>
      <c r="C31" s="42" t="s">
        <v>19</v>
      </c>
      <c r="D31" s="43"/>
    </row>
    <row r="32" spans="1:5" ht="18.600000000000001" thickBot="1" x14ac:dyDescent="0.4">
      <c r="B32" s="26" t="s">
        <v>20</v>
      </c>
      <c r="C32" s="44">
        <f>Aporte</f>
        <v>600</v>
      </c>
      <c r="D32" s="45"/>
    </row>
    <row r="33" spans="2:4" ht="15" thickBot="1" x14ac:dyDescent="0.35"/>
    <row r="34" spans="2:4" ht="18" x14ac:dyDescent="0.3">
      <c r="B34" s="22" t="s">
        <v>21</v>
      </c>
      <c r="C34" s="23" t="s">
        <v>32</v>
      </c>
      <c r="D34" s="24" t="s">
        <v>33</v>
      </c>
    </row>
    <row r="35" spans="2:4" ht="18" x14ac:dyDescent="0.35">
      <c r="B35" s="20" t="s">
        <v>22</v>
      </c>
      <c r="C35" s="18">
        <f>VLOOKUP($C$31&amp;"-"&amp;B35,Tabela_de_apoio!$A$1:$D$20,4,FALSE)</f>
        <v>0.5</v>
      </c>
      <c r="D35" s="19">
        <f>C35*$C$32</f>
        <v>300</v>
      </c>
    </row>
    <row r="36" spans="2:4" ht="18" x14ac:dyDescent="0.35">
      <c r="B36" s="20" t="s">
        <v>23</v>
      </c>
      <c r="C36" s="18">
        <f>VLOOKUP($C$31&amp;"-"&amp;B36,Tabela_de_apoio!$A:$D,4,FALSE)</f>
        <v>0.1</v>
      </c>
      <c r="D36" s="19">
        <f t="shared" ref="D36:D40" si="0">C36*$C$32</f>
        <v>60</v>
      </c>
    </row>
    <row r="37" spans="2:4" ht="18" x14ac:dyDescent="0.35">
      <c r="B37" s="20" t="s">
        <v>24</v>
      </c>
      <c r="C37" s="18">
        <f>VLOOKUP($C$31&amp;"-"&amp;B37,Tabela_de_apoio!$A:$D,4,FALSE)</f>
        <v>0.05</v>
      </c>
      <c r="D37" s="19">
        <f t="shared" si="0"/>
        <v>30</v>
      </c>
    </row>
    <row r="38" spans="2:4" ht="18" x14ac:dyDescent="0.35">
      <c r="B38" s="20" t="s">
        <v>25</v>
      </c>
      <c r="C38" s="18">
        <f>VLOOKUP($C$31&amp;"-"&amp;B38,Tabela_de_apoio!$A:$D,4,FALSE)</f>
        <v>0.05</v>
      </c>
      <c r="D38" s="19">
        <f t="shared" si="0"/>
        <v>30</v>
      </c>
    </row>
    <row r="39" spans="2:4" ht="18" x14ac:dyDescent="0.35">
      <c r="B39" s="20" t="s">
        <v>26</v>
      </c>
      <c r="C39" s="18">
        <f>VLOOKUP($C$31&amp;"-"&amp;B39,Tabela_de_apoio!$A:$D,4,FALSE)</f>
        <v>0.2</v>
      </c>
      <c r="D39" s="19">
        <f t="shared" si="0"/>
        <v>120</v>
      </c>
    </row>
    <row r="40" spans="2:4" ht="18" x14ac:dyDescent="0.35">
      <c r="B40" s="20" t="s">
        <v>27</v>
      </c>
      <c r="C40" s="18">
        <f>VLOOKUP($C$31&amp;"-"&amp;B40,Tabela_de_apoio!$A:$D,4,FALSE)</f>
        <v>0.1</v>
      </c>
      <c r="D40" s="19">
        <f t="shared" si="0"/>
        <v>60</v>
      </c>
    </row>
    <row r="41" spans="2:4" ht="18.600000000000001" thickBot="1" x14ac:dyDescent="0.4">
      <c r="B41" s="38" t="s">
        <v>34</v>
      </c>
      <c r="C41" s="37"/>
      <c r="D41" s="39">
        <f>SUM(D35:D40)</f>
        <v>600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</sheetData>
  <mergeCells count="13">
    <mergeCell ref="B19:C19"/>
    <mergeCell ref="B12:D12"/>
    <mergeCell ref="B13:C13"/>
    <mergeCell ref="B14:C14"/>
    <mergeCell ref="B15:C15"/>
    <mergeCell ref="B17:D17"/>
    <mergeCell ref="B18:C18"/>
    <mergeCell ref="B24:C24"/>
    <mergeCell ref="C31:D31"/>
    <mergeCell ref="C32:D32"/>
    <mergeCell ref="B20:C20"/>
    <mergeCell ref="B21:C21"/>
    <mergeCell ref="B22:C22"/>
  </mergeCells>
  <dataValidations count="1">
    <dataValidation type="list" allowBlank="1" showInputMessage="1" showErrorMessage="1" sqref="C31" xr:uid="{2624D2F9-9573-4FB4-9E4F-2EF71326B487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0149-1E48-439C-A56E-06C214B512E8}">
  <dimension ref="A1:D20"/>
  <sheetViews>
    <sheetView topLeftCell="A4" workbookViewId="0">
      <selection activeCell="D8" sqref="D8"/>
    </sheetView>
  </sheetViews>
  <sheetFormatPr defaultRowHeight="14.4" x14ac:dyDescent="0.3"/>
  <cols>
    <col min="1" max="1" width="40.109375" bestFit="1" customWidth="1"/>
    <col min="2" max="2" width="17.6640625" bestFit="1" customWidth="1"/>
    <col min="3" max="3" width="22.44140625" bestFit="1" customWidth="1"/>
    <col min="4" max="4" width="15.109375" bestFit="1" customWidth="1"/>
    <col min="7" max="7" width="21.109375" bestFit="1" customWidth="1"/>
  </cols>
  <sheetData>
    <row r="1" spans="1:4" ht="15" thickBot="1" x14ac:dyDescent="0.35"/>
    <row r="2" spans="1:4" ht="18" x14ac:dyDescent="0.35">
      <c r="A2" s="27" t="s">
        <v>30</v>
      </c>
      <c r="B2" s="28" t="s">
        <v>16</v>
      </c>
      <c r="C2" s="28" t="s">
        <v>28</v>
      </c>
      <c r="D2" s="21" t="s">
        <v>29</v>
      </c>
    </row>
    <row r="3" spans="1:4" ht="18" x14ac:dyDescent="0.35">
      <c r="A3" s="32" t="str">
        <f>B3&amp;"-"&amp;C3</f>
        <v>CONSERVADOR-PAPEL</v>
      </c>
      <c r="B3" s="33" t="s">
        <v>17</v>
      </c>
      <c r="C3" s="33" t="s">
        <v>22</v>
      </c>
      <c r="D3" s="29">
        <v>0.3</v>
      </c>
    </row>
    <row r="4" spans="1:4" ht="18" x14ac:dyDescent="0.35">
      <c r="A4" s="34" t="str">
        <f t="shared" ref="A4:A20" si="0">B4&amp;"-"&amp;C4</f>
        <v>CONSERVADOR-TIJOLO</v>
      </c>
      <c r="B4" s="35" t="s">
        <v>17</v>
      </c>
      <c r="C4" s="35" t="s">
        <v>23</v>
      </c>
      <c r="D4" s="30">
        <v>0.5</v>
      </c>
    </row>
    <row r="5" spans="1:4" ht="18" x14ac:dyDescent="0.35">
      <c r="A5" s="34" t="str">
        <f t="shared" si="0"/>
        <v>CONSERVADOR-HÍBRIDOS</v>
      </c>
      <c r="B5" s="35" t="s">
        <v>17</v>
      </c>
      <c r="C5" s="35" t="s">
        <v>24</v>
      </c>
      <c r="D5" s="30">
        <v>0.1</v>
      </c>
    </row>
    <row r="6" spans="1:4" ht="18" x14ac:dyDescent="0.35">
      <c r="A6" s="34" t="str">
        <f t="shared" si="0"/>
        <v>CONSERVADOR-FOFs</v>
      </c>
      <c r="B6" s="35" t="s">
        <v>17</v>
      </c>
      <c r="C6" s="35" t="s">
        <v>25</v>
      </c>
      <c r="D6" s="30">
        <v>0.1</v>
      </c>
    </row>
    <row r="7" spans="1:4" ht="18" x14ac:dyDescent="0.35">
      <c r="A7" s="34" t="str">
        <f t="shared" si="0"/>
        <v>CONSERVADOR-DESENVOLVIMENTO</v>
      </c>
      <c r="B7" s="35" t="s">
        <v>17</v>
      </c>
      <c r="C7" s="35" t="s">
        <v>26</v>
      </c>
      <c r="D7" s="30">
        <v>0</v>
      </c>
    </row>
    <row r="8" spans="1:4" ht="18.600000000000001" thickBot="1" x14ac:dyDescent="0.4">
      <c r="A8" s="36" t="str">
        <f t="shared" si="0"/>
        <v>CONSERVADOR-HOTELÁRIAS</v>
      </c>
      <c r="B8" s="37" t="s">
        <v>17</v>
      </c>
      <c r="C8" s="37" t="s">
        <v>27</v>
      </c>
      <c r="D8" s="31">
        <v>0</v>
      </c>
    </row>
    <row r="9" spans="1:4" ht="18" x14ac:dyDescent="0.35">
      <c r="A9" s="32" t="str">
        <f t="shared" si="0"/>
        <v>MODERADO-PAPEL</v>
      </c>
      <c r="B9" s="33" t="s">
        <v>18</v>
      </c>
      <c r="C9" s="33" t="s">
        <v>22</v>
      </c>
      <c r="D9" s="29">
        <v>0.32</v>
      </c>
    </row>
    <row r="10" spans="1:4" ht="18" x14ac:dyDescent="0.35">
      <c r="A10" s="34" t="str">
        <f t="shared" si="0"/>
        <v>MODERADO-TIJOLO</v>
      </c>
      <c r="B10" s="35" t="s">
        <v>18</v>
      </c>
      <c r="C10" s="35" t="s">
        <v>23</v>
      </c>
      <c r="D10" s="30">
        <v>0.35</v>
      </c>
    </row>
    <row r="11" spans="1:4" ht="18" x14ac:dyDescent="0.35">
      <c r="A11" s="34" t="str">
        <f t="shared" si="0"/>
        <v>MODERADO-HÍBRIDOS</v>
      </c>
      <c r="B11" s="35" t="s">
        <v>18</v>
      </c>
      <c r="C11" s="35" t="s">
        <v>24</v>
      </c>
      <c r="D11" s="30">
        <v>0.08</v>
      </c>
    </row>
    <row r="12" spans="1:4" ht="18" x14ac:dyDescent="0.35">
      <c r="A12" s="34" t="str">
        <f t="shared" si="0"/>
        <v>MODERADO-FOFs</v>
      </c>
      <c r="B12" s="35" t="s">
        <v>18</v>
      </c>
      <c r="C12" s="35" t="s">
        <v>25</v>
      </c>
      <c r="D12" s="30">
        <v>0.05</v>
      </c>
    </row>
    <row r="13" spans="1:4" ht="18" x14ac:dyDescent="0.35">
      <c r="A13" s="34" t="str">
        <f t="shared" si="0"/>
        <v>MODERADO-DESENVOLVIMENTO</v>
      </c>
      <c r="B13" s="35" t="s">
        <v>18</v>
      </c>
      <c r="C13" s="35" t="s">
        <v>26</v>
      </c>
      <c r="D13" s="30">
        <v>0.1</v>
      </c>
    </row>
    <row r="14" spans="1:4" ht="18.600000000000001" thickBot="1" x14ac:dyDescent="0.4">
      <c r="A14" s="36" t="str">
        <f t="shared" si="0"/>
        <v>MODERADO-HOTELÁRIAS</v>
      </c>
      <c r="B14" s="37" t="s">
        <v>18</v>
      </c>
      <c r="C14" s="37" t="s">
        <v>27</v>
      </c>
      <c r="D14" s="31">
        <v>0.1</v>
      </c>
    </row>
    <row r="15" spans="1:4" ht="18" x14ac:dyDescent="0.35">
      <c r="A15" s="32" t="str">
        <f t="shared" si="0"/>
        <v>AGRESSIVO-PAPEL</v>
      </c>
      <c r="B15" s="33" t="s">
        <v>19</v>
      </c>
      <c r="C15" s="33" t="s">
        <v>22</v>
      </c>
      <c r="D15" s="29">
        <v>0.5</v>
      </c>
    </row>
    <row r="16" spans="1:4" ht="18" x14ac:dyDescent="0.35">
      <c r="A16" s="34" t="str">
        <f t="shared" si="0"/>
        <v>AGRESSIVO-TIJOLO</v>
      </c>
      <c r="B16" s="35" t="s">
        <v>19</v>
      </c>
      <c r="C16" s="35" t="s">
        <v>23</v>
      </c>
      <c r="D16" s="30">
        <v>0.1</v>
      </c>
    </row>
    <row r="17" spans="1:4" ht="18" x14ac:dyDescent="0.35">
      <c r="A17" s="34" t="str">
        <f t="shared" si="0"/>
        <v>AGRESSIVO-HÍBRIDOS</v>
      </c>
      <c r="B17" s="35" t="s">
        <v>19</v>
      </c>
      <c r="C17" s="35" t="s">
        <v>24</v>
      </c>
      <c r="D17" s="30">
        <v>0.05</v>
      </c>
    </row>
    <row r="18" spans="1:4" ht="18" x14ac:dyDescent="0.35">
      <c r="A18" s="34" t="str">
        <f t="shared" si="0"/>
        <v>AGRESSIVO-FOFs</v>
      </c>
      <c r="B18" s="35" t="s">
        <v>19</v>
      </c>
      <c r="C18" s="35" t="s">
        <v>25</v>
      </c>
      <c r="D18" s="30">
        <v>0.05</v>
      </c>
    </row>
    <row r="19" spans="1:4" ht="18" x14ac:dyDescent="0.35">
      <c r="A19" s="34" t="str">
        <f t="shared" si="0"/>
        <v>AGRESSIVO-DESENVOLVIMENTO</v>
      </c>
      <c r="B19" s="35" t="s">
        <v>19</v>
      </c>
      <c r="C19" s="35" t="s">
        <v>26</v>
      </c>
      <c r="D19" s="30">
        <v>0.2</v>
      </c>
    </row>
    <row r="20" spans="1:4" ht="18.600000000000001" thickBot="1" x14ac:dyDescent="0.4">
      <c r="A20" s="36" t="str">
        <f t="shared" si="0"/>
        <v>AGRESSIVO-HOTELÁRIAS</v>
      </c>
      <c r="B20" s="37" t="s">
        <v>19</v>
      </c>
      <c r="C20" s="37" t="s">
        <v>27</v>
      </c>
      <c r="D20" s="3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Tabela_financeira</vt:lpstr>
      <vt:lpstr>Tabela_de_apoio</vt:lpstr>
      <vt:lpstr>Aporte</vt:lpstr>
      <vt:lpstr>patrimonio</vt:lpstr>
      <vt:lpstr>Qntd_anos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gabrielalunardi1997@gmail.com</dc:creator>
  <cp:lastModifiedBy>gabrielalunardi1997@gmail.com</cp:lastModifiedBy>
  <dcterms:created xsi:type="dcterms:W3CDTF">2026-08-31T18:38:10Z</dcterms:created>
  <dcterms:modified xsi:type="dcterms:W3CDTF">2026-09-10T18:21:23Z</dcterms:modified>
</cp:coreProperties>
</file>